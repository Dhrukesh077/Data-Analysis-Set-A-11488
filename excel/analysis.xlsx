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" sheetId="1" state="visible" r:id="rId3"/>
    <sheet name="Lookup" sheetId="2" state="visible" r:id="rId4"/>
    <sheet name="Clean" sheetId="3" state="visible" r:id="rId5"/>
    <sheet name="Summary" sheetId="4" state="visible" r:id="rId6"/>
  </sheets>
  <definedNames>
    <definedName function="false" hidden="true" localSheetId="2" name="_xlnm._FilterDatabase" vbProcedure="false">Clean!$A$1:$I$13</definedName>
    <definedName function="false" hidden="true" localSheetId="0" name="_xlnm._FilterDatabase" vbProcedure="false">Raw!$A$1:$F$14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delay_days = MAX(actual_days - promised_days, 0)</t>
        </r>
      </text>
    </comment>
  </commentList>
</comments>
</file>

<file path=xl/sharedStrings.xml><?xml version="1.0" encoding="utf-8"?>
<sst xmlns="http://schemas.openxmlformats.org/spreadsheetml/2006/main" count="164" uniqueCount="60">
  <si>
    <t xml:space="preserve">record_id</t>
  </si>
  <si>
    <t xml:space="preserve">month</t>
  </si>
  <si>
    <t xml:space="preserve">route_id</t>
  </si>
  <si>
    <t xml:space="preserve">hub</t>
  </si>
  <si>
    <t xml:space="preserve">promised_days</t>
  </si>
  <si>
    <t xml:space="preserve">actual_days</t>
  </si>
  <si>
    <t xml:space="preserve">Source data rows (incl. duplicate)</t>
  </si>
  <si>
    <t xml:space="preserve">Jan</t>
  </si>
  <si>
    <t xml:space="preserve">R1</t>
  </si>
  <si>
    <t xml:space="preserve">Mumbai</t>
  </si>
  <si>
    <t xml:space="preserve">Exact duplicate rows</t>
  </si>
  <si>
    <t xml:space="preserve">R2</t>
  </si>
  <si>
    <t xml:space="preserve">Chennai</t>
  </si>
  <si>
    <t xml:space="preserve">Original values preserved unchanged. The shaded row 14 is the intentional duplicate of record_id 12; it is removed on the Clean sheet only.</t>
  </si>
  <si>
    <t xml:space="preserve">R3</t>
  </si>
  <si>
    <t xml:space="preserve">Delhi</t>
  </si>
  <si>
    <t xml:space="preserve">R4</t>
  </si>
  <si>
    <t xml:space="preserve">Feb</t>
  </si>
  <si>
    <t xml:space="preserve">Mar</t>
  </si>
  <si>
    <t xml:space="preserve">route</t>
  </si>
  <si>
    <t xml:space="preserve">service_type</t>
  </si>
  <si>
    <t xml:space="preserve">route_id (red header, yellow cells) is the unique lookup key.</t>
  </si>
  <si>
    <t xml:space="preserve">Metro Link</t>
  </si>
  <si>
    <t xml:space="preserve">Express</t>
  </si>
  <si>
    <t xml:space="preserve">One route -&gt; many delivery records (one-to-many).</t>
  </si>
  <si>
    <t xml:space="preserve">City Dash</t>
  </si>
  <si>
    <t xml:space="preserve">Route names and service types are exactly as supplied in routes.csv.</t>
  </si>
  <si>
    <t xml:space="preserve">Highway Freight</t>
  </si>
  <si>
    <t xml:space="preserve">Standard</t>
  </si>
  <si>
    <t xml:space="preserve">Route rows</t>
  </si>
  <si>
    <t xml:space="preserve">Rural Feeder</t>
  </si>
  <si>
    <t xml:space="preserve">delay_days</t>
  </si>
  <si>
    <t xml:space="preserve">is_delayed</t>
  </si>
  <si>
    <t xml:space="preserve">Rows before cleaning (Raw)</t>
  </si>
  <si>
    <t xml:space="preserve">Rows after cleaning (Clean)</t>
  </si>
  <si>
    <t xml:space="preserve">Duplicates removed</t>
  </si>
  <si>
    <t xml:space="preserve">Row-count check (13 -&gt; 12)</t>
  </si>
  <si>
    <t xml:space="preserve">Formula errors in service_type</t>
  </si>
  <si>
    <t xml:space="preserve">Total delay days</t>
  </si>
  <si>
    <t xml:space="preserve">Columns A-F are the 12 unique records (duplicate record_id 12 kept once). G (lookup) and H (delay) are live formulas; I flags actual_days &gt; promised_days.</t>
  </si>
  <si>
    <t xml:space="preserve">Delivery Delay Analysis - Summary</t>
  </si>
  <si>
    <t xml:space="preserve">All figures are live formulas over the 12 clean records on the Clean sheet.</t>
  </si>
  <si>
    <t xml:space="preserve">1. Delay burden by hub (SUMIFS)</t>
  </si>
  <si>
    <t xml:space="preserve">total_delay_days</t>
  </si>
  <si>
    <t xml:space="preserve">delivery_count</t>
  </si>
  <si>
    <t xml:space="preserve">delayed_count</t>
  </si>
  <si>
    <t xml:space="preserve">delay_incidence_rate</t>
  </si>
  <si>
    <t xml:space="preserve">Overall</t>
  </si>
  <si>
    <t xml:space="preserve">Rows sorted highest-to-lowest at build time. Overall rate = delayed / total counts (not an average of hub rates).</t>
  </si>
  <si>
    <t xml:space="preserve">2. Total delay days: service_type x month (formula grid; see excel_guide.md for the PivotTable)</t>
  </si>
  <si>
    <t xml:space="preserve">Grand Total</t>
  </si>
  <si>
    <t xml:space="preserve">3. Service-type comparison</t>
  </si>
  <si>
    <t xml:space="preserve">4. Route contribution</t>
  </si>
  <si>
    <t xml:space="preserve">share_of_total_delay</t>
  </si>
  <si>
    <t xml:space="preserve">Routes with total delay &gt; 8 days:</t>
  </si>
  <si>
    <t xml:space="preserve">5. Internal consistency checks</t>
  </si>
  <si>
    <t xml:space="preserve">Hub total = Clean total</t>
  </si>
  <si>
    <t xml:space="preserve">Service x month grand total = Clean total</t>
  </si>
  <si>
    <t xml:space="preserve">Route total = Clean total</t>
  </si>
  <si>
    <t xml:space="preserve">Clean rows = 12 and no unmatched routes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</si>
</sst>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4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Delay Days by Service Type and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Summary!B13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Summary!$A$14:$A$15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Summary!$B$14:$B$15</c:f>
              <c:numCache>
                <c:formatCode>0.00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</c:ser>
        <c:ser>
          <c:idx val="1"/>
          <c:order val="1"/>
          <c:tx>
            <c:strRef>
              <c:f>Summary!C13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Summary!$A$14:$A$15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Summary!$C$14:$C$15</c:f>
              <c:numCache>
                <c:formatCode>0.00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</c:ser>
        <c:ser>
          <c:idx val="2"/>
          <c:order val="2"/>
          <c:tx>
            <c:strRef>
              <c:f>Summary!D13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Summary!$A$14:$A$15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Summary!$D$14:$D$15</c:f>
              <c:numCache>
                <c:formatCode>0.00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</c:ser>
        <c:gapWidth val="150"/>
        <c:overlap val="0"/>
        <c:axId val="10869935"/>
        <c:axId val="42668950"/>
      </c:barChart>
      <c:catAx>
        <c:axId val="108699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Service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68950"/>
        <c:crosses val="autoZero"/>
        <c:auto val="1"/>
        <c:lblAlgn val="ctr"/>
        <c:lblOffset val="100"/>
        <c:noMultiLvlLbl val="0"/>
      </c:catAx>
      <c:valAx>
        <c:axId val="426689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Delay 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699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15</xdr:col>
      <xdr:colOff>255960</xdr:colOff>
      <xdr:row>18</xdr:row>
      <xdr:rowOff>172440</xdr:rowOff>
    </xdr:to>
    <xdr:graphicFrame>
      <xdr:nvGraphicFramePr>
        <xdr:cNvPr id="0" name="Chart 1"/>
        <xdr:cNvGraphicFramePr/>
      </xdr:nvGraphicFramePr>
      <xdr:xfrm>
        <a:off x="7964640" y="571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LookupTbl" displayName="LookupTbl" ref="A1:C5" headerRowCount="1" totalsRowCount="0" totalsRowShown="0">
  <autoFilter ref="A1:C5"/>
  <tableColumns count="3">
    <tableColumn id="1" name="route_id"/>
    <tableColumn id="2" name="route"/>
    <tableColumn id="3" name="service_typ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"/>
    <col collapsed="false" customWidth="true" hidden="false" outlineLevel="0" max="8" min="8" style="0" width="34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3" t="n">
        <f aca="false">COUNTA(A2:A14)</f>
        <v>13</v>
      </c>
    </row>
    <row r="2" customFormat="false" ht="15" hidden="false" customHeight="false" outlineLevel="0" collapsed="false">
      <c r="A2" s="4" t="n">
        <v>1</v>
      </c>
      <c r="B2" s="4" t="s">
        <v>7</v>
      </c>
      <c r="C2" s="4" t="s">
        <v>8</v>
      </c>
      <c r="D2" s="4" t="s">
        <v>9</v>
      </c>
      <c r="E2" s="4" t="n">
        <v>2</v>
      </c>
      <c r="F2" s="4" t="n">
        <v>2</v>
      </c>
      <c r="H2" s="2" t="s">
        <v>10</v>
      </c>
      <c r="I2" s="3" t="n">
        <f aca="false">SUMPRODUCT(--(COUNTIFS(A2:A14,A2:A14,B2:B14,B2:B14,C2:C14,C2:C14,D2:D14,D2:D14,E2:E14,E2:E14,F2:F14,F2:F14)&gt;1))/2</f>
        <v>1</v>
      </c>
    </row>
    <row r="3" customFormat="false" ht="15" hidden="false" customHeight="false" outlineLevel="0" collapsed="false">
      <c r="A3" s="4" t="n">
        <v>2</v>
      </c>
      <c r="B3" s="4" t="s">
        <v>7</v>
      </c>
      <c r="C3" s="4" t="s">
        <v>11</v>
      </c>
      <c r="D3" s="4" t="s">
        <v>12</v>
      </c>
      <c r="E3" s="4" t="n">
        <v>3</v>
      </c>
      <c r="F3" s="4" t="n">
        <v>4</v>
      </c>
      <c r="H3" s="5" t="s">
        <v>13</v>
      </c>
    </row>
    <row r="4" customFormat="false" ht="15" hidden="false" customHeight="false" outlineLevel="0" collapsed="false">
      <c r="A4" s="4" t="n">
        <v>3</v>
      </c>
      <c r="B4" s="4" t="s">
        <v>7</v>
      </c>
      <c r="C4" s="4" t="s">
        <v>14</v>
      </c>
      <c r="D4" s="4" t="s">
        <v>15</v>
      </c>
      <c r="E4" s="4" t="n">
        <v>5</v>
      </c>
      <c r="F4" s="4" t="n">
        <v>8</v>
      </c>
    </row>
    <row r="5" customFormat="false" ht="15" hidden="false" customHeight="false" outlineLevel="0" collapsed="false">
      <c r="A5" s="4" t="n">
        <v>4</v>
      </c>
      <c r="B5" s="4" t="s">
        <v>7</v>
      </c>
      <c r="C5" s="4" t="s">
        <v>16</v>
      </c>
      <c r="D5" s="4" t="s">
        <v>9</v>
      </c>
      <c r="E5" s="4" t="n">
        <v>6</v>
      </c>
      <c r="F5" s="4" t="n">
        <v>10</v>
      </c>
    </row>
    <row r="6" customFormat="false" ht="15" hidden="false" customHeight="false" outlineLevel="0" collapsed="false">
      <c r="A6" s="4" t="n">
        <v>5</v>
      </c>
      <c r="B6" s="4" t="s">
        <v>17</v>
      </c>
      <c r="C6" s="4" t="s">
        <v>8</v>
      </c>
      <c r="D6" s="4" t="s">
        <v>12</v>
      </c>
      <c r="E6" s="4" t="n">
        <v>2</v>
      </c>
      <c r="F6" s="4" t="n">
        <v>5</v>
      </c>
    </row>
    <row r="7" customFormat="false" ht="15" hidden="false" customHeight="false" outlineLevel="0" collapsed="false">
      <c r="A7" s="4" t="n">
        <v>6</v>
      </c>
      <c r="B7" s="4" t="s">
        <v>17</v>
      </c>
      <c r="C7" s="4" t="s">
        <v>11</v>
      </c>
      <c r="D7" s="4" t="s">
        <v>15</v>
      </c>
      <c r="E7" s="4" t="n">
        <v>3</v>
      </c>
      <c r="F7" s="4" t="n">
        <v>3</v>
      </c>
    </row>
    <row r="8" customFormat="false" ht="15" hidden="false" customHeight="false" outlineLevel="0" collapsed="false">
      <c r="A8" s="4" t="n">
        <v>7</v>
      </c>
      <c r="B8" s="4" t="s">
        <v>17</v>
      </c>
      <c r="C8" s="4" t="s">
        <v>14</v>
      </c>
      <c r="D8" s="4" t="s">
        <v>15</v>
      </c>
      <c r="E8" s="4" t="n">
        <v>5</v>
      </c>
      <c r="F8" s="4" t="n">
        <v>10</v>
      </c>
    </row>
    <row r="9" customFormat="false" ht="15" hidden="false" customHeight="false" outlineLevel="0" collapsed="false">
      <c r="A9" s="4" t="n">
        <v>8</v>
      </c>
      <c r="B9" s="4" t="s">
        <v>17</v>
      </c>
      <c r="C9" s="4" t="s">
        <v>16</v>
      </c>
      <c r="D9" s="4" t="s">
        <v>12</v>
      </c>
      <c r="E9" s="4" t="n">
        <v>6</v>
      </c>
      <c r="F9" s="4" t="n">
        <v>7</v>
      </c>
    </row>
    <row r="10" customFormat="false" ht="15" hidden="false" customHeight="false" outlineLevel="0" collapsed="false">
      <c r="A10" s="4" t="n">
        <v>9</v>
      </c>
      <c r="B10" s="4" t="s">
        <v>18</v>
      </c>
      <c r="C10" s="4" t="s">
        <v>8</v>
      </c>
      <c r="D10" s="4" t="s">
        <v>15</v>
      </c>
      <c r="E10" s="4" t="n">
        <v>2</v>
      </c>
      <c r="F10" s="4" t="n">
        <v>8</v>
      </c>
    </row>
    <row r="11" customFormat="false" ht="15" hidden="false" customHeight="false" outlineLevel="0" collapsed="false">
      <c r="A11" s="4" t="n">
        <v>10</v>
      </c>
      <c r="B11" s="4" t="s">
        <v>18</v>
      </c>
      <c r="C11" s="4" t="s">
        <v>11</v>
      </c>
      <c r="D11" s="4" t="s">
        <v>9</v>
      </c>
      <c r="E11" s="4" t="n">
        <v>3</v>
      </c>
      <c r="F11" s="4" t="n">
        <v>5</v>
      </c>
    </row>
    <row r="12" customFormat="false" ht="15" hidden="false" customHeight="false" outlineLevel="0" collapsed="false">
      <c r="A12" s="4" t="n">
        <v>11</v>
      </c>
      <c r="B12" s="4" t="s">
        <v>18</v>
      </c>
      <c r="C12" s="4" t="s">
        <v>14</v>
      </c>
      <c r="D12" s="4" t="s">
        <v>12</v>
      </c>
      <c r="E12" s="4" t="n">
        <v>5</v>
      </c>
      <c r="F12" s="4" t="n">
        <v>5</v>
      </c>
    </row>
    <row r="13" customFormat="false" ht="15" hidden="false" customHeight="false" outlineLevel="0" collapsed="false">
      <c r="A13" s="4" t="n">
        <v>12</v>
      </c>
      <c r="B13" s="4" t="s">
        <v>18</v>
      </c>
      <c r="C13" s="4" t="s">
        <v>16</v>
      </c>
      <c r="D13" s="4" t="s">
        <v>9</v>
      </c>
      <c r="E13" s="4" t="n">
        <v>6</v>
      </c>
      <c r="F13" s="4" t="n">
        <v>15</v>
      </c>
    </row>
    <row r="14" customFormat="false" ht="15" hidden="false" customHeight="false" outlineLevel="0" collapsed="false">
      <c r="A14" s="6" t="n">
        <v>12</v>
      </c>
      <c r="B14" s="6" t="s">
        <v>18</v>
      </c>
      <c r="C14" s="6" t="s">
        <v>16</v>
      </c>
      <c r="D14" s="6" t="s">
        <v>9</v>
      </c>
      <c r="E14" s="6" t="n">
        <v>6</v>
      </c>
      <c r="F14" s="6" t="n">
        <v>15</v>
      </c>
    </row>
  </sheetData>
  <autoFilter ref="A1:F1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56"/>
    <col collapsed="false" customWidth="true" hidden="false" outlineLevel="0" max="6" min="6" style="0" width="8"/>
  </cols>
  <sheetData>
    <row r="1" customFormat="false" ht="15" hidden="false" customHeight="false" outlineLevel="0" collapsed="false">
      <c r="A1" s="7" t="s">
        <v>2</v>
      </c>
      <c r="B1" s="1" t="s">
        <v>19</v>
      </c>
      <c r="C1" s="1" t="s">
        <v>20</v>
      </c>
      <c r="E1" s="5" t="s">
        <v>21</v>
      </c>
    </row>
    <row r="2" customFormat="false" ht="15" hidden="false" customHeight="false" outlineLevel="0" collapsed="false">
      <c r="A2" s="8" t="s">
        <v>8</v>
      </c>
      <c r="B2" s="4" t="s">
        <v>22</v>
      </c>
      <c r="C2" s="4" t="s">
        <v>23</v>
      </c>
      <c r="E2" s="5" t="s">
        <v>24</v>
      </c>
    </row>
    <row r="3" customFormat="false" ht="15" hidden="false" customHeight="false" outlineLevel="0" collapsed="false">
      <c r="A3" s="8" t="s">
        <v>11</v>
      </c>
      <c r="B3" s="4" t="s">
        <v>25</v>
      </c>
      <c r="C3" s="4" t="s">
        <v>23</v>
      </c>
      <c r="E3" s="5" t="s">
        <v>26</v>
      </c>
    </row>
    <row r="4" customFormat="false" ht="15" hidden="false" customHeight="false" outlineLevel="0" collapsed="false">
      <c r="A4" s="8" t="s">
        <v>14</v>
      </c>
      <c r="B4" s="4" t="s">
        <v>27</v>
      </c>
      <c r="C4" s="4" t="s">
        <v>28</v>
      </c>
      <c r="E4" s="9" t="s">
        <v>29</v>
      </c>
      <c r="F4" s="10" t="n">
        <f aca="false">COUNTA(A2:A5)</f>
        <v>4</v>
      </c>
    </row>
    <row r="5" customFormat="false" ht="15" hidden="false" customHeight="false" outlineLevel="0" collapsed="false">
      <c r="A5" s="8" t="s">
        <v>16</v>
      </c>
      <c r="B5" s="4" t="s">
        <v>30</v>
      </c>
      <c r="C5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3"/>
    <col collapsed="false" customWidth="true" hidden="false" outlineLevel="0" max="11" min="11" style="0" width="34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31</v>
      </c>
      <c r="I1" s="1" t="s">
        <v>32</v>
      </c>
      <c r="K1" s="2" t="s">
        <v>33</v>
      </c>
      <c r="L1" s="3" t="n">
        <f aca="false">COUNTA(Raw!A2:A14)</f>
        <v>13</v>
      </c>
    </row>
    <row r="2" customFormat="false" ht="15" hidden="false" customHeight="false" outlineLevel="0" collapsed="false">
      <c r="A2" s="4" t="n">
        <v>1</v>
      </c>
      <c r="B2" s="4" t="s">
        <v>7</v>
      </c>
      <c r="C2" s="4" t="s">
        <v>8</v>
      </c>
      <c r="D2" s="4" t="s">
        <v>9</v>
      </c>
      <c r="E2" s="4" t="n">
        <v>2</v>
      </c>
      <c r="F2" s="4" t="n">
        <v>2</v>
      </c>
      <c r="G2" s="3" t="str">
        <f aca="false">IFERROR(INDEX(Lookup!$C$2:$C$5,MATCH(C2,Lookup!$A$2:$A$5,0)),"NOT FOUND")</f>
        <v>Express</v>
      </c>
      <c r="H2" s="11" t="n">
        <f aca="false">MAX(F2-E2,0)</f>
        <v>0</v>
      </c>
      <c r="I2" s="3" t="n">
        <f aca="false">IF(F2&gt;E2,1,0)</f>
        <v>0</v>
      </c>
      <c r="K2" s="2" t="s">
        <v>34</v>
      </c>
      <c r="L2" s="3" t="n">
        <f aca="false">COUNTA(A2:A13)</f>
        <v>12</v>
      </c>
    </row>
    <row r="3" customFormat="false" ht="15" hidden="false" customHeight="false" outlineLevel="0" collapsed="false">
      <c r="A3" s="4" t="n">
        <v>2</v>
      </c>
      <c r="B3" s="4" t="s">
        <v>7</v>
      </c>
      <c r="C3" s="4" t="s">
        <v>11</v>
      </c>
      <c r="D3" s="4" t="s">
        <v>12</v>
      </c>
      <c r="E3" s="4" t="n">
        <v>3</v>
      </c>
      <c r="F3" s="4" t="n">
        <v>4</v>
      </c>
      <c r="G3" s="3" t="str">
        <f aca="false">IFERROR(INDEX(Lookup!$C$2:$C$5,MATCH(C3,Lookup!$A$2:$A$5,0)),"NOT FOUND")</f>
        <v>Express</v>
      </c>
      <c r="H3" s="11" t="n">
        <f aca="false">MAX(F3-E3,0)</f>
        <v>1</v>
      </c>
      <c r="I3" s="3" t="n">
        <f aca="false">IF(F3&gt;E3,1,0)</f>
        <v>1</v>
      </c>
      <c r="K3" s="2" t="s">
        <v>35</v>
      </c>
      <c r="L3" s="3" t="n">
        <f aca="false">L1-L2</f>
        <v>1</v>
      </c>
    </row>
    <row r="4" customFormat="false" ht="15" hidden="false" customHeight="false" outlineLevel="0" collapsed="false">
      <c r="A4" s="4" t="n">
        <v>3</v>
      </c>
      <c r="B4" s="4" t="s">
        <v>7</v>
      </c>
      <c r="C4" s="4" t="s">
        <v>14</v>
      </c>
      <c r="D4" s="4" t="s">
        <v>15</v>
      </c>
      <c r="E4" s="4" t="n">
        <v>5</v>
      </c>
      <c r="F4" s="4" t="n">
        <v>8</v>
      </c>
      <c r="G4" s="3" t="str">
        <f aca="false">IFERROR(INDEX(Lookup!$C$2:$C$5,MATCH(C4,Lookup!$A$2:$A$5,0)),"NOT FOUND")</f>
        <v>Standard</v>
      </c>
      <c r="H4" s="11" t="n">
        <f aca="false">MAX(F4-E4,0)</f>
        <v>3</v>
      </c>
      <c r="I4" s="3" t="n">
        <f aca="false">IF(F4&gt;E4,1,0)</f>
        <v>1</v>
      </c>
      <c r="K4" s="2" t="s">
        <v>36</v>
      </c>
      <c r="L4" s="3" t="str">
        <f aca="false">IF(AND(L1=13,L2=12,L3=1),"OK","CHECK")</f>
        <v>OK</v>
      </c>
    </row>
    <row r="5" customFormat="false" ht="15" hidden="false" customHeight="false" outlineLevel="0" collapsed="false">
      <c r="A5" s="4" t="n">
        <v>4</v>
      </c>
      <c r="B5" s="4" t="s">
        <v>7</v>
      </c>
      <c r="C5" s="4" t="s">
        <v>16</v>
      </c>
      <c r="D5" s="4" t="s">
        <v>9</v>
      </c>
      <c r="E5" s="4" t="n">
        <v>6</v>
      </c>
      <c r="F5" s="4" t="n">
        <v>10</v>
      </c>
      <c r="G5" s="3" t="str">
        <f aca="false">IFERROR(INDEX(Lookup!$C$2:$C$5,MATCH(C5,Lookup!$A$2:$A$5,0)),"NOT FOUND")</f>
        <v>Standard</v>
      </c>
      <c r="H5" s="11" t="n">
        <f aca="false">MAX(F5-E5,0)</f>
        <v>4</v>
      </c>
      <c r="I5" s="3" t="n">
        <f aca="false">IF(F5&gt;E5,1,0)</f>
        <v>1</v>
      </c>
      <c r="K5" s="2" t="s">
        <v>37</v>
      </c>
      <c r="L5" s="3" t="str">
        <f aca="false">IF(COUNTIF(G2:G13,"NOT FOUND")=0,"OK (none)","UNMATCHED KEYS")</f>
        <v>OK (none)</v>
      </c>
    </row>
    <row r="6" customFormat="false" ht="15" hidden="false" customHeight="false" outlineLevel="0" collapsed="false">
      <c r="A6" s="4" t="n">
        <v>5</v>
      </c>
      <c r="B6" s="4" t="s">
        <v>17</v>
      </c>
      <c r="C6" s="4" t="s">
        <v>8</v>
      </c>
      <c r="D6" s="4" t="s">
        <v>12</v>
      </c>
      <c r="E6" s="4" t="n">
        <v>2</v>
      </c>
      <c r="F6" s="4" t="n">
        <v>5</v>
      </c>
      <c r="G6" s="3" t="str">
        <f aca="false">IFERROR(INDEX(Lookup!$C$2:$C$5,MATCH(C6,Lookup!$A$2:$A$5,0)),"NOT FOUND")</f>
        <v>Express</v>
      </c>
      <c r="H6" s="11" t="n">
        <f aca="false">MAX(F6-E6,0)</f>
        <v>3</v>
      </c>
      <c r="I6" s="3" t="n">
        <f aca="false">IF(F6&gt;E6,1,0)</f>
        <v>1</v>
      </c>
      <c r="K6" s="2" t="s">
        <v>38</v>
      </c>
      <c r="L6" s="11" t="n">
        <f aca="false">SUM(H2:H13)</f>
        <v>34</v>
      </c>
    </row>
    <row r="7" customFormat="false" ht="15" hidden="false" customHeight="false" outlineLevel="0" collapsed="false">
      <c r="A7" s="4" t="n">
        <v>6</v>
      </c>
      <c r="B7" s="4" t="s">
        <v>17</v>
      </c>
      <c r="C7" s="4" t="s">
        <v>11</v>
      </c>
      <c r="D7" s="4" t="s">
        <v>15</v>
      </c>
      <c r="E7" s="4" t="n">
        <v>3</v>
      </c>
      <c r="F7" s="4" t="n">
        <v>3</v>
      </c>
      <c r="G7" s="3" t="str">
        <f aca="false">IFERROR(INDEX(Lookup!$C$2:$C$5,MATCH(C7,Lookup!$A$2:$A$5,0)),"NOT FOUND")</f>
        <v>Express</v>
      </c>
      <c r="H7" s="11" t="n">
        <f aca="false">MAX(F7-E7,0)</f>
        <v>0</v>
      </c>
      <c r="I7" s="3" t="n">
        <f aca="false">IF(F7&gt;E7,1,0)</f>
        <v>0</v>
      </c>
    </row>
    <row r="8" customFormat="false" ht="15" hidden="false" customHeight="false" outlineLevel="0" collapsed="false">
      <c r="A8" s="4" t="n">
        <v>7</v>
      </c>
      <c r="B8" s="4" t="s">
        <v>17</v>
      </c>
      <c r="C8" s="4" t="s">
        <v>14</v>
      </c>
      <c r="D8" s="4" t="s">
        <v>15</v>
      </c>
      <c r="E8" s="4" t="n">
        <v>5</v>
      </c>
      <c r="F8" s="4" t="n">
        <v>10</v>
      </c>
      <c r="G8" s="3" t="str">
        <f aca="false">IFERROR(INDEX(Lookup!$C$2:$C$5,MATCH(C8,Lookup!$A$2:$A$5,0)),"NOT FOUND")</f>
        <v>Standard</v>
      </c>
      <c r="H8" s="11" t="n">
        <f aca="false">MAX(F8-E8,0)</f>
        <v>5</v>
      </c>
      <c r="I8" s="3" t="n">
        <f aca="false">IF(F8&gt;E8,1,0)</f>
        <v>1</v>
      </c>
      <c r="K8" s="5" t="s">
        <v>39</v>
      </c>
    </row>
    <row r="9" customFormat="false" ht="15" hidden="false" customHeight="false" outlineLevel="0" collapsed="false">
      <c r="A9" s="4" t="n">
        <v>8</v>
      </c>
      <c r="B9" s="4" t="s">
        <v>17</v>
      </c>
      <c r="C9" s="4" t="s">
        <v>16</v>
      </c>
      <c r="D9" s="4" t="s">
        <v>12</v>
      </c>
      <c r="E9" s="4" t="n">
        <v>6</v>
      </c>
      <c r="F9" s="4" t="n">
        <v>7</v>
      </c>
      <c r="G9" s="3" t="str">
        <f aca="false">IFERROR(INDEX(Lookup!$C$2:$C$5,MATCH(C9,Lookup!$A$2:$A$5,0)),"NOT FOUND")</f>
        <v>Standard</v>
      </c>
      <c r="H9" s="11" t="n">
        <f aca="false">MAX(F9-E9,0)</f>
        <v>1</v>
      </c>
      <c r="I9" s="3" t="n">
        <f aca="false">IF(F9&gt;E9,1,0)</f>
        <v>1</v>
      </c>
    </row>
    <row r="10" customFormat="false" ht="15" hidden="false" customHeight="false" outlineLevel="0" collapsed="false">
      <c r="A10" s="4" t="n">
        <v>9</v>
      </c>
      <c r="B10" s="4" t="s">
        <v>18</v>
      </c>
      <c r="C10" s="4" t="s">
        <v>8</v>
      </c>
      <c r="D10" s="4" t="s">
        <v>15</v>
      </c>
      <c r="E10" s="4" t="n">
        <v>2</v>
      </c>
      <c r="F10" s="4" t="n">
        <v>8</v>
      </c>
      <c r="G10" s="3" t="str">
        <f aca="false">IFERROR(INDEX(Lookup!$C$2:$C$5,MATCH(C10,Lookup!$A$2:$A$5,0)),"NOT FOUND")</f>
        <v>Express</v>
      </c>
      <c r="H10" s="11" t="n">
        <f aca="false">MAX(F10-E10,0)</f>
        <v>6</v>
      </c>
      <c r="I10" s="3" t="n">
        <f aca="false">IF(F10&gt;E10,1,0)</f>
        <v>1</v>
      </c>
    </row>
    <row r="11" customFormat="false" ht="15" hidden="false" customHeight="false" outlineLevel="0" collapsed="false">
      <c r="A11" s="4" t="n">
        <v>10</v>
      </c>
      <c r="B11" s="4" t="s">
        <v>18</v>
      </c>
      <c r="C11" s="4" t="s">
        <v>11</v>
      </c>
      <c r="D11" s="4" t="s">
        <v>9</v>
      </c>
      <c r="E11" s="4" t="n">
        <v>3</v>
      </c>
      <c r="F11" s="4" t="n">
        <v>5</v>
      </c>
      <c r="G11" s="3" t="str">
        <f aca="false">IFERROR(INDEX(Lookup!$C$2:$C$5,MATCH(C11,Lookup!$A$2:$A$5,0)),"NOT FOUND")</f>
        <v>Express</v>
      </c>
      <c r="H11" s="11" t="n">
        <f aca="false">MAX(F11-E11,0)</f>
        <v>2</v>
      </c>
      <c r="I11" s="3" t="n">
        <f aca="false">IF(F11&gt;E11,1,0)</f>
        <v>1</v>
      </c>
    </row>
    <row r="12" customFormat="false" ht="15" hidden="false" customHeight="false" outlineLevel="0" collapsed="false">
      <c r="A12" s="4" t="n">
        <v>11</v>
      </c>
      <c r="B12" s="4" t="s">
        <v>18</v>
      </c>
      <c r="C12" s="4" t="s">
        <v>14</v>
      </c>
      <c r="D12" s="4" t="s">
        <v>12</v>
      </c>
      <c r="E12" s="4" t="n">
        <v>5</v>
      </c>
      <c r="F12" s="4" t="n">
        <v>5</v>
      </c>
      <c r="G12" s="3" t="str">
        <f aca="false">IFERROR(INDEX(Lookup!$C$2:$C$5,MATCH(C12,Lookup!$A$2:$A$5,0)),"NOT FOUND")</f>
        <v>Standard</v>
      </c>
      <c r="H12" s="11" t="n">
        <f aca="false">MAX(F12-E12,0)</f>
        <v>0</v>
      </c>
      <c r="I12" s="3" t="n">
        <f aca="false">IF(F12&gt;E12,1,0)</f>
        <v>0</v>
      </c>
    </row>
    <row r="13" customFormat="false" ht="15" hidden="false" customHeight="false" outlineLevel="0" collapsed="false">
      <c r="A13" s="4" t="n">
        <v>12</v>
      </c>
      <c r="B13" s="4" t="s">
        <v>18</v>
      </c>
      <c r="C13" s="4" t="s">
        <v>16</v>
      </c>
      <c r="D13" s="4" t="s">
        <v>9</v>
      </c>
      <c r="E13" s="4" t="n">
        <v>6</v>
      </c>
      <c r="F13" s="4" t="n">
        <v>15</v>
      </c>
      <c r="G13" s="3" t="str">
        <f aca="false">IFERROR(INDEX(Lookup!$C$2:$C$5,MATCH(C13,Lookup!$A$2:$A$5,0)),"NOT FOUND")</f>
        <v>Standard</v>
      </c>
      <c r="H13" s="11" t="n">
        <f aca="false">MAX(F13-E13,0)</f>
        <v>9</v>
      </c>
      <c r="I13" s="3" t="n">
        <f aca="false">IF(F13&gt;E13,1,0)</f>
        <v>1</v>
      </c>
    </row>
  </sheetData>
  <autoFilter ref="A1:I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5" min="4" style="0" width="22"/>
    <col collapsed="false" customWidth="true" hidden="false" outlineLevel="0" max="6" min="6" style="0" width="3"/>
  </cols>
  <sheetData>
    <row r="1" customFormat="false" ht="17.35" hidden="false" customHeight="false" outlineLevel="0" collapsed="false">
      <c r="A1" s="12" t="s">
        <v>40</v>
      </c>
    </row>
    <row r="2" customFormat="false" ht="15" hidden="false" customHeight="false" outlineLevel="0" collapsed="false">
      <c r="A2" s="5" t="s">
        <v>41</v>
      </c>
    </row>
    <row r="4" customFormat="false" ht="15" hidden="false" customHeight="false" outlineLevel="0" collapsed="false">
      <c r="A4" s="9" t="s">
        <v>42</v>
      </c>
    </row>
    <row r="5" customFormat="false" ht="15" hidden="false" customHeight="false" outlineLevel="0" collapsed="false">
      <c r="A5" s="1" t="s">
        <v>3</v>
      </c>
      <c r="B5" s="1" t="s">
        <v>43</v>
      </c>
      <c r="C5" s="1" t="s">
        <v>44</v>
      </c>
      <c r="D5" s="1" t="s">
        <v>45</v>
      </c>
      <c r="E5" s="1" t="s">
        <v>46</v>
      </c>
    </row>
    <row r="6" customFormat="false" ht="15" hidden="false" customHeight="false" outlineLevel="0" collapsed="false">
      <c r="A6" s="4" t="s">
        <v>9</v>
      </c>
      <c r="B6" s="13" t="n">
        <f aca="false">SUMIFS(Clean!$H$2:$H$13,Clean!$D$2:$D$13,A6)</f>
        <v>15</v>
      </c>
      <c r="C6" s="4" t="n">
        <f aca="false">COUNTIFS(Clean!$D$2:$D$13,A6)</f>
        <v>4</v>
      </c>
      <c r="D6" s="4" t="n">
        <f aca="false">SUMIFS(Clean!$I$2:$I$13,Clean!$D$2:$D$13,A6)</f>
        <v>3</v>
      </c>
      <c r="E6" s="14" t="n">
        <f aca="false">IF(C6=0,0,D6/C6)</f>
        <v>0.75</v>
      </c>
    </row>
    <row r="7" customFormat="false" ht="15" hidden="false" customHeight="false" outlineLevel="0" collapsed="false">
      <c r="A7" s="4" t="s">
        <v>15</v>
      </c>
      <c r="B7" s="13" t="n">
        <f aca="false">SUMIFS(Clean!$H$2:$H$13,Clean!$D$2:$D$13,A7)</f>
        <v>14</v>
      </c>
      <c r="C7" s="4" t="n">
        <f aca="false">COUNTIFS(Clean!$D$2:$D$13,A7)</f>
        <v>4</v>
      </c>
      <c r="D7" s="4" t="n">
        <f aca="false">SUMIFS(Clean!$I$2:$I$13,Clean!$D$2:$D$13,A7)</f>
        <v>3</v>
      </c>
      <c r="E7" s="14" t="n">
        <f aca="false">IF(C7=0,0,D7/C7)</f>
        <v>0.75</v>
      </c>
    </row>
    <row r="8" customFormat="false" ht="15" hidden="false" customHeight="false" outlineLevel="0" collapsed="false">
      <c r="A8" s="4" t="s">
        <v>12</v>
      </c>
      <c r="B8" s="13" t="n">
        <f aca="false">SUMIFS(Clean!$H$2:$H$13,Clean!$D$2:$D$13,A8)</f>
        <v>5</v>
      </c>
      <c r="C8" s="4" t="n">
        <f aca="false">COUNTIFS(Clean!$D$2:$D$13,A8)</f>
        <v>4</v>
      </c>
      <c r="D8" s="4" t="n">
        <f aca="false">SUMIFS(Clean!$I$2:$I$13,Clean!$D$2:$D$13,A8)</f>
        <v>3</v>
      </c>
      <c r="E8" s="14" t="n">
        <f aca="false">IF(C8=0,0,D8/C8)</f>
        <v>0.75</v>
      </c>
    </row>
    <row r="9" customFormat="false" ht="15" hidden="false" customHeight="false" outlineLevel="0" collapsed="false">
      <c r="A9" s="15" t="s">
        <v>47</v>
      </c>
      <c r="B9" s="16" t="n">
        <f aca="false">SUM(B6:B8)</f>
        <v>34</v>
      </c>
      <c r="C9" s="15" t="n">
        <f aca="false">SUM(C6:C8)</f>
        <v>12</v>
      </c>
      <c r="D9" s="15" t="n">
        <f aca="false">SUM(D6:D8)</f>
        <v>9</v>
      </c>
      <c r="E9" s="17" t="n">
        <f aca="false">IF(C9=0,0,D9/C9)</f>
        <v>0.75</v>
      </c>
    </row>
    <row r="10" customFormat="false" ht="15" hidden="false" customHeight="false" outlineLevel="0" collapsed="false">
      <c r="A10" s="5" t="s">
        <v>48</v>
      </c>
    </row>
    <row r="12" customFormat="false" ht="15" hidden="false" customHeight="false" outlineLevel="0" collapsed="false">
      <c r="A12" s="9" t="s">
        <v>49</v>
      </c>
    </row>
    <row r="13" customFormat="false" ht="15" hidden="false" customHeight="false" outlineLevel="0" collapsed="false">
      <c r="A13" s="1" t="s">
        <v>20</v>
      </c>
      <c r="B13" s="1" t="s">
        <v>7</v>
      </c>
      <c r="C13" s="1" t="s">
        <v>17</v>
      </c>
      <c r="D13" s="1" t="s">
        <v>18</v>
      </c>
      <c r="E13" s="1" t="s">
        <v>50</v>
      </c>
    </row>
    <row r="14" customFormat="false" ht="15" hidden="false" customHeight="false" outlineLevel="0" collapsed="false">
      <c r="A14" s="15" t="s">
        <v>23</v>
      </c>
      <c r="B14" s="13" t="n">
        <f aca="false">SUMIFS(Clean!$H$2:$H$13,Clean!$G$2:$G$13,$A14,Clean!$B$2:$B$13,B$13)</f>
        <v>1</v>
      </c>
      <c r="C14" s="13" t="n">
        <f aca="false">SUMIFS(Clean!$H$2:$H$13,Clean!$G$2:$G$13,$A14,Clean!$B$2:$B$13,C$13)</f>
        <v>3</v>
      </c>
      <c r="D14" s="13" t="n">
        <f aca="false">SUMIFS(Clean!$H$2:$H$13,Clean!$G$2:$G$13,$A14,Clean!$B$2:$B$13,D$13)</f>
        <v>8</v>
      </c>
      <c r="E14" s="16" t="n">
        <f aca="false">SUM(B14:D14)</f>
        <v>12</v>
      </c>
    </row>
    <row r="15" customFormat="false" ht="15" hidden="false" customHeight="false" outlineLevel="0" collapsed="false">
      <c r="A15" s="15" t="s">
        <v>28</v>
      </c>
      <c r="B15" s="13" t="n">
        <f aca="false">SUMIFS(Clean!$H$2:$H$13,Clean!$G$2:$G$13,$A15,Clean!$B$2:$B$13,B$13)</f>
        <v>7</v>
      </c>
      <c r="C15" s="13" t="n">
        <f aca="false">SUMIFS(Clean!$H$2:$H$13,Clean!$G$2:$G$13,$A15,Clean!$B$2:$B$13,C$13)</f>
        <v>6</v>
      </c>
      <c r="D15" s="13" t="n">
        <f aca="false">SUMIFS(Clean!$H$2:$H$13,Clean!$G$2:$G$13,$A15,Clean!$B$2:$B$13,D$13)</f>
        <v>9</v>
      </c>
      <c r="E15" s="16" t="n">
        <f aca="false">SUM(B15:D15)</f>
        <v>22</v>
      </c>
    </row>
    <row r="16" customFormat="false" ht="15" hidden="false" customHeight="false" outlineLevel="0" collapsed="false">
      <c r="A16" s="15" t="s">
        <v>50</v>
      </c>
      <c r="B16" s="16" t="n">
        <f aca="false">SUM(B14:B15)</f>
        <v>8</v>
      </c>
      <c r="C16" s="16" t="n">
        <f aca="false">SUM(C14:C15)</f>
        <v>9</v>
      </c>
      <c r="D16" s="16" t="n">
        <f aca="false">SUM(D14:D15)</f>
        <v>17</v>
      </c>
      <c r="E16" s="16" t="n">
        <f aca="false">SUM(E14:E15)</f>
        <v>34</v>
      </c>
    </row>
    <row r="18" customFormat="false" ht="15" hidden="false" customHeight="false" outlineLevel="0" collapsed="false">
      <c r="A18" s="9" t="s">
        <v>51</v>
      </c>
    </row>
    <row r="19" customFormat="false" ht="15" hidden="false" customHeight="false" outlineLevel="0" collapsed="false">
      <c r="A19" s="1" t="s">
        <v>20</v>
      </c>
      <c r="B19" s="1" t="s">
        <v>43</v>
      </c>
      <c r="C19" s="1" t="s">
        <v>44</v>
      </c>
      <c r="D19" s="1" t="s">
        <v>45</v>
      </c>
      <c r="E19" s="1" t="s">
        <v>46</v>
      </c>
    </row>
    <row r="20" customFormat="false" ht="15" hidden="false" customHeight="false" outlineLevel="0" collapsed="false">
      <c r="A20" s="4" t="s">
        <v>28</v>
      </c>
      <c r="B20" s="13" t="n">
        <f aca="false">SUMIFS(Clean!$H$2:$H$13,Clean!$G$2:$G$13,A20)</f>
        <v>22</v>
      </c>
      <c r="C20" s="4" t="n">
        <f aca="false">COUNTIFS(Clean!$G$2:$G$13,A20)</f>
        <v>6</v>
      </c>
      <c r="D20" s="4" t="n">
        <f aca="false">SUMIFS(Clean!$I$2:$I$13,Clean!$G$2:$G$13,A20)</f>
        <v>5</v>
      </c>
      <c r="E20" s="14" t="n">
        <f aca="false">IF(C20=0,0,D20/C20)</f>
        <v>0.833333333333333</v>
      </c>
    </row>
    <row r="21" customFormat="false" ht="15" hidden="false" customHeight="false" outlineLevel="0" collapsed="false">
      <c r="A21" s="4" t="s">
        <v>23</v>
      </c>
      <c r="B21" s="13" t="n">
        <f aca="false">SUMIFS(Clean!$H$2:$H$13,Clean!$G$2:$G$13,A21)</f>
        <v>12</v>
      </c>
      <c r="C21" s="4" t="n">
        <f aca="false">COUNTIFS(Clean!$G$2:$G$13,A21)</f>
        <v>6</v>
      </c>
      <c r="D21" s="4" t="n">
        <f aca="false">SUMIFS(Clean!$I$2:$I$13,Clean!$G$2:$G$13,A21)</f>
        <v>4</v>
      </c>
      <c r="E21" s="14" t="n">
        <f aca="false">IF(C21=0,0,D21/C21)</f>
        <v>0.666666666666667</v>
      </c>
    </row>
    <row r="23" customFormat="false" ht="15" hidden="false" customHeight="false" outlineLevel="0" collapsed="false">
      <c r="A23" s="9" t="s">
        <v>52</v>
      </c>
    </row>
    <row r="24" customFormat="false" ht="15" hidden="false" customHeight="false" outlineLevel="0" collapsed="false">
      <c r="A24" s="1" t="s">
        <v>2</v>
      </c>
      <c r="B24" s="1" t="s">
        <v>19</v>
      </c>
      <c r="C24" s="1" t="s">
        <v>43</v>
      </c>
      <c r="D24" s="1" t="s">
        <v>53</v>
      </c>
    </row>
    <row r="25" customFormat="false" ht="15" hidden="false" customHeight="false" outlineLevel="0" collapsed="false">
      <c r="A25" s="4" t="s">
        <v>16</v>
      </c>
      <c r="B25" s="4" t="str">
        <f aca="false">INDEX(Lookup!$B$2:$B$5,MATCH(A25,Lookup!$A$2:$A$5,0))</f>
        <v>Rural Feeder</v>
      </c>
      <c r="C25" s="13" t="n">
        <f aca="false">SUMIFS(Clean!$H$2:$H$13,Clean!$C$2:$C$13,A25)</f>
        <v>14</v>
      </c>
      <c r="D25" s="14" t="n">
        <f aca="false">IF($B$9=0,0,C25/$B$9)</f>
        <v>0.411764705882353</v>
      </c>
    </row>
    <row r="26" customFormat="false" ht="15" hidden="false" customHeight="false" outlineLevel="0" collapsed="false">
      <c r="A26" s="4" t="s">
        <v>8</v>
      </c>
      <c r="B26" s="4" t="str">
        <f aca="false">INDEX(Lookup!$B$2:$B$5,MATCH(A26,Lookup!$A$2:$A$5,0))</f>
        <v>Metro Link</v>
      </c>
      <c r="C26" s="13" t="n">
        <f aca="false">SUMIFS(Clean!$H$2:$H$13,Clean!$C$2:$C$13,A26)</f>
        <v>9</v>
      </c>
      <c r="D26" s="14" t="n">
        <f aca="false">IF($B$9=0,0,C26/$B$9)</f>
        <v>0.264705882352941</v>
      </c>
    </row>
    <row r="27" customFormat="false" ht="15" hidden="false" customHeight="false" outlineLevel="0" collapsed="false">
      <c r="A27" s="4" t="s">
        <v>14</v>
      </c>
      <c r="B27" s="4" t="str">
        <f aca="false">INDEX(Lookup!$B$2:$B$5,MATCH(A27,Lookup!$A$2:$A$5,0))</f>
        <v>Highway Freight</v>
      </c>
      <c r="C27" s="13" t="n">
        <f aca="false">SUMIFS(Clean!$H$2:$H$13,Clean!$C$2:$C$13,A27)</f>
        <v>8</v>
      </c>
      <c r="D27" s="14" t="n">
        <f aca="false">IF($B$9=0,0,C27/$B$9)</f>
        <v>0.235294117647059</v>
      </c>
    </row>
    <row r="28" customFormat="false" ht="15" hidden="false" customHeight="false" outlineLevel="0" collapsed="false">
      <c r="A28" s="4" t="s">
        <v>11</v>
      </c>
      <c r="B28" s="4" t="str">
        <f aca="false">INDEX(Lookup!$B$2:$B$5,MATCH(A28,Lookup!$A$2:$A$5,0))</f>
        <v>City Dash</v>
      </c>
      <c r="C28" s="13" t="n">
        <f aca="false">SUMIFS(Clean!$H$2:$H$13,Clean!$C$2:$C$13,A28)</f>
        <v>3</v>
      </c>
      <c r="D28" s="14" t="n">
        <f aca="false">IF($B$9=0,0,C28/$B$9)</f>
        <v>0.0882352941176471</v>
      </c>
    </row>
    <row r="29" customFormat="false" ht="15" hidden="false" customHeight="false" outlineLevel="0" collapsed="false">
      <c r="A29" s="9" t="s">
        <v>54</v>
      </c>
      <c r="C29" s="10" t="n">
        <f aca="false">COUNTIF(C25:C28,"&gt;8")</f>
        <v>2</v>
      </c>
    </row>
    <row r="31" customFormat="false" ht="15" hidden="false" customHeight="false" outlineLevel="0" collapsed="false">
      <c r="A31" s="9" t="s">
        <v>55</v>
      </c>
    </row>
    <row r="32" customFormat="false" ht="15" hidden="false" customHeight="false" outlineLevel="0" collapsed="false">
      <c r="A32" s="18" t="s">
        <v>56</v>
      </c>
      <c r="D32" s="9" t="str">
        <f aca="false">IF(B9=Clean!L6,"OK","CHECK")</f>
        <v>OK</v>
      </c>
    </row>
    <row r="33" customFormat="false" ht="15" hidden="false" customHeight="false" outlineLevel="0" collapsed="false">
      <c r="A33" s="18" t="s">
        <v>57</v>
      </c>
      <c r="D33" s="9" t="str">
        <f aca="false">IF(E16=Clean!L6,"OK","CHECK")</f>
        <v>OK</v>
      </c>
    </row>
    <row r="34" customFormat="false" ht="15" hidden="false" customHeight="false" outlineLevel="0" collapsed="false">
      <c r="A34" s="18" t="s">
        <v>58</v>
      </c>
      <c r="D34" s="9" t="str">
        <f aca="false">IF(SUM(C25:C28)=Clean!L6,"OK","CHECK")</f>
        <v>OK</v>
      </c>
    </row>
    <row r="35" customFormat="false" ht="15" hidden="false" customHeight="false" outlineLevel="0" collapsed="false">
      <c r="A35" s="18" t="s">
        <v>59</v>
      </c>
      <c r="D35" s="9" t="str">
        <f aca="false">IF(AND(Clean!L2=12,Clean!L5="OK (none)"),"OK","CHECK")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2026-10-10T06:09:15Z</dcterms:created>
  <dc:creator>openpyxl</dc:creator>
  <dc:description/>
  <dc:language>en-US</dc:language>
  <cp:lastModifiedBy/>
  <dcterms:modified xsi:type="dcterms:W3CDTF">2026-10-10T06:09:18Z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